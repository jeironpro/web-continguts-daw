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" sheetId="1" r:id="rId4"/>
  </sheets>
  <definedNames/>
  <calcPr/>
</workbook>
</file>

<file path=xl/sharedStrings.xml><?xml version="1.0" encoding="utf-8"?>
<sst xmlns="http://schemas.openxmlformats.org/spreadsheetml/2006/main" count="135" uniqueCount="108">
  <si>
    <t>FASTAPI + GUESS WORD</t>
  </si>
  <si>
    <t>TASQUES</t>
  </si>
  <si>
    <t>VERIFICACIÓ</t>
  </si>
  <si>
    <t>ERRORS</t>
  </si>
  <si>
    <t>COMENTARIS</t>
  </si>
  <si>
    <t>VARIS (40%)</t>
  </si>
  <si>
    <t>PUNTUACIÓ ERRORS (POSSIBLES ERRORS)</t>
  </si>
  <si>
    <t xml:space="preserve"> CONFIGURACIÓ (30%)</t>
  </si>
  <si>
    <t>CONFIGURACIÓ</t>
  </si>
  <si>
    <r>
      <rPr>
        <rFont val="Arial"/>
        <color rgb="FF000000"/>
      </rPr>
      <t xml:space="preserve">S'ha creat arxiu </t>
    </r>
    <r>
      <rPr>
        <rFont val="Arial"/>
        <b/>
        <color rgb="FF000000"/>
      </rPr>
      <t xml:space="preserve">.env </t>
    </r>
    <r>
      <rPr>
        <rFont val="Arial"/>
        <color rgb="FF000000"/>
      </rPr>
      <t>correctament</t>
    </r>
  </si>
  <si>
    <t>.env no és correcte</t>
  </si>
  <si>
    <r>
      <rPr>
        <rFont val="Arial"/>
        <color rgb="FF000000"/>
      </rPr>
      <t xml:space="preserve">S'ha creat arxiu </t>
    </r>
    <r>
      <rPr>
        <rFont val="Arial"/>
        <b/>
        <color rgb="FF000000"/>
      </rPr>
      <t>requirements</t>
    </r>
    <r>
      <rPr>
        <rFont val="Arial"/>
        <color rgb="FF000000"/>
      </rPr>
      <t xml:space="preserve"> correctament</t>
    </r>
  </si>
  <si>
    <t>requirements no és correcte</t>
  </si>
  <si>
    <r>
      <rPr>
        <rFont val="Arial"/>
        <color rgb="FF000000"/>
      </rPr>
      <t xml:space="preserve">S'ha creat arxiu </t>
    </r>
    <r>
      <rPr>
        <rFont val="Arial"/>
        <b/>
        <color rgb="FF000000"/>
      </rPr>
      <t>docker-compose.yml</t>
    </r>
    <r>
      <rPr>
        <rFont val="Arial"/>
        <color rgb="FF000000"/>
      </rPr>
      <t xml:space="preserve"> al directori principal</t>
    </r>
  </si>
  <si>
    <t>no està docker-compose.yml</t>
  </si>
  <si>
    <r>
      <rPr>
        <rFont val="Arial"/>
        <color rgb="FF000000"/>
      </rPr>
      <t xml:space="preserve">Estructura demanada (models, crud, serveis, </t>
    </r>
    <r>
      <rPr>
        <rFont val="Arial"/>
        <color rgb="FF000000"/>
      </rPr>
      <t>main.py</t>
    </r>
    <r>
      <rPr>
        <rFont val="Arial"/>
        <color rgb="FF000000"/>
      </rPr>
      <t>)</t>
    </r>
  </si>
  <si>
    <t>Per cada error (-5)</t>
  </si>
  <si>
    <t xml:space="preserve"> GIT / GITHUB (30%)</t>
  </si>
  <si>
    <t>Treballa amb, mínim, una branca</t>
  </si>
  <si>
    <t>No pujar tot el codi a través de branca, nom branca incorrecte</t>
  </si>
  <si>
    <t>S'ha fusionat el codi de la branca al main</t>
  </si>
  <si>
    <t>No fusionar el codi a la branca main</t>
  </si>
  <si>
    <t>S'ha fet un commit per dia de classe</t>
  </si>
  <si>
    <t>Per cada dia que NO es fa un commit</t>
  </si>
  <si>
    <t>Es fan commits a classe però amb molt poca feina</t>
  </si>
  <si>
    <t>VIDEO (20%)</t>
  </si>
  <si>
    <t>Es mostren totes les funcionalitats correctament</t>
  </si>
  <si>
    <t>Per cada error en la funcionalitat</t>
  </si>
  <si>
    <t>(-5 o -10)</t>
  </si>
  <si>
    <t xml:space="preserve"> COMENTARIS (20%)</t>
  </si>
  <si>
    <t>Comentar el codi de forma correcte</t>
  </si>
  <si>
    <t>No comentar el codi de forma òptima</t>
  </si>
  <si>
    <t>TOTAL VARIS</t>
  </si>
  <si>
    <t>CODI (60%)</t>
  </si>
  <si>
    <t>MODELS (15%)</t>
  </si>
  <si>
    <r>
      <rPr>
        <rFont val="Arial"/>
        <color theme="1"/>
      </rPr>
      <t xml:space="preserve">Creada carpeta </t>
    </r>
    <r>
      <rPr>
        <rFont val="Arial"/>
        <b/>
        <color theme="1"/>
      </rPr>
      <t>/models (1p)</t>
    </r>
  </si>
  <si>
    <t>Import incorrecte</t>
  </si>
  <si>
    <r>
      <rPr>
        <rFont val="Arial"/>
        <color theme="1"/>
      </rPr>
      <t xml:space="preserve">Imports correctes </t>
    </r>
    <r>
      <rPr>
        <rFont val="Arial"/>
        <b/>
        <color theme="1"/>
      </rPr>
      <t>(2p)</t>
    </r>
  </si>
  <si>
    <t>No s'ha creat carpeta</t>
  </si>
  <si>
    <r>
      <rPr>
        <rFont val="Arial"/>
        <color theme="1"/>
      </rPr>
      <t xml:space="preserve">S'ha creat per cada taula el seu model </t>
    </r>
    <r>
      <rPr>
        <rFont val="Arial"/>
        <b/>
        <color theme="1"/>
      </rPr>
      <t>(6p)</t>
    </r>
  </si>
  <si>
    <t>Per cada classe mal creada</t>
  </si>
  <si>
    <r>
      <rPr>
        <rFont val="Arial"/>
        <color theme="1"/>
      </rPr>
      <t xml:space="preserve">Les classes request, response i d'altres creades correctament </t>
    </r>
    <r>
      <rPr>
        <rFont val="Arial"/>
        <b/>
        <color theme="1"/>
      </rPr>
      <t>(6p)</t>
    </r>
  </si>
  <si>
    <t>Camps models sense tipus de dades o incorrectes</t>
  </si>
  <si>
    <t>La classe principal sense Table=True</t>
  </si>
  <si>
    <r>
      <rPr>
        <rFont val="Arial"/>
        <b/>
        <color rgb="FF000000"/>
      </rPr>
      <t>MAIN.PY</t>
    </r>
    <r>
      <rPr>
        <rFont val="Arial"/>
        <b/>
        <color theme="1"/>
      </rPr>
      <t xml:space="preserve"> (15%)</t>
    </r>
  </si>
  <si>
    <r>
      <rPr>
        <rFont val="Arial"/>
        <color theme="1"/>
      </rPr>
      <t xml:space="preserve">imports correctes </t>
    </r>
    <r>
      <rPr>
        <rFont val="Arial"/>
        <b/>
        <color theme="1"/>
      </rPr>
      <t>(1p)</t>
    </r>
  </si>
  <si>
    <t>Imports incorrecte</t>
  </si>
  <si>
    <r>
      <rPr>
        <rFont val="Arial"/>
        <color theme="1"/>
      </rPr>
      <t xml:space="preserve">Instància app=Fastapi() inclosa </t>
    </r>
    <r>
      <rPr>
        <rFont val="Arial"/>
        <b/>
        <color theme="1"/>
      </rPr>
      <t>(1p)</t>
    </r>
  </si>
  <si>
    <t>Si no hi ha instància</t>
  </si>
  <si>
    <r>
      <rPr>
        <rFont val="Arial"/>
        <color theme="1"/>
      </rPr>
      <t xml:space="preserve">Creació engine correcte </t>
    </r>
    <r>
      <rPr>
        <rFont val="Arial"/>
        <b/>
        <color theme="1"/>
      </rPr>
      <t>(1p)</t>
    </r>
  </si>
  <si>
    <t>Si engine no és funcional 100%</t>
  </si>
  <si>
    <r>
      <rPr>
        <rFont val="Arial"/>
        <color theme="1"/>
      </rPr>
      <t xml:space="preserve">Migració taules correcte </t>
    </r>
    <r>
      <rPr>
        <rFont val="Arial"/>
        <b/>
        <color theme="1"/>
      </rPr>
      <t>(1p)</t>
    </r>
  </si>
  <si>
    <t>Endpoint amb mètode http incorrecte</t>
  </si>
  <si>
    <r>
      <rPr>
        <rFont val="Arial"/>
        <color theme="1"/>
      </rPr>
      <t xml:space="preserve">get_db creat correctament </t>
    </r>
    <r>
      <rPr>
        <rFont val="Arial"/>
        <b/>
        <color theme="1"/>
      </rPr>
      <t>(1p)</t>
    </r>
  </si>
  <si>
    <t>Endpoint sense response_model o response_model incorrecte</t>
  </si>
  <si>
    <r>
      <rPr>
        <rFont val="Arial"/>
        <color theme="1"/>
      </rPr>
      <t xml:space="preserve">Endpoint paraula random </t>
    </r>
    <r>
      <rPr>
        <rFont val="Arial"/>
        <b/>
        <color theme="1"/>
      </rPr>
      <t>(2,5p)</t>
    </r>
  </si>
  <si>
    <t>Funció sense la Sessió</t>
  </si>
  <si>
    <r>
      <rPr>
        <rFont val="Arial"/>
        <color theme="1"/>
      </rPr>
      <t xml:space="preserve">Endpoint abecedari </t>
    </r>
    <r>
      <rPr>
        <rFont val="Arial"/>
        <b/>
        <color theme="1"/>
      </rPr>
      <t>(2,5p)</t>
    </r>
  </si>
  <si>
    <t>Trucada al servei incorrecte</t>
  </si>
  <si>
    <r>
      <rPr>
        <rFont val="Arial"/>
        <color theme="1"/>
      </rPr>
      <t xml:space="preserve">Endpoint historial partida </t>
    </r>
    <r>
      <rPr>
        <rFont val="Arial"/>
        <b/>
        <color theme="1"/>
      </rPr>
      <t>(2,5p)</t>
    </r>
  </si>
  <si>
    <r>
      <rPr>
        <rFont val="Arial"/>
        <color theme="1"/>
      </rPr>
      <t xml:space="preserve">Endpoint Instruccions </t>
    </r>
    <r>
      <rPr>
        <rFont val="Arial"/>
        <b/>
        <color theme="1"/>
      </rPr>
      <t>(2,5p)</t>
    </r>
  </si>
  <si>
    <t>CRUD (35%)</t>
  </si>
  <si>
    <r>
      <rPr>
        <rFont val="Arial"/>
        <color theme="1"/>
      </rPr>
      <t xml:space="preserve">Imports correctes </t>
    </r>
    <r>
      <rPr>
        <rFont val="Arial"/>
        <b/>
        <color theme="1"/>
      </rPr>
      <t>(2p)</t>
    </r>
  </si>
  <si>
    <r>
      <rPr>
        <rFont val="Arial"/>
        <color theme="1"/>
      </rPr>
      <t xml:space="preserve">Fitxer dintre de carpeta correcte </t>
    </r>
    <r>
      <rPr>
        <rFont val="Arial"/>
        <b/>
        <color theme="1"/>
      </rPr>
      <t>(1p)</t>
    </r>
  </si>
  <si>
    <t xml:space="preserve">  Query paraula random (5p)</t>
  </si>
  <si>
    <r>
      <rPr>
        <rFont val="Arial"/>
        <color theme="1"/>
      </rPr>
      <t xml:space="preserve">No s'ha creat carpeta </t>
    </r>
    <r>
      <rPr>
        <rFont val="Arial"/>
        <b/>
        <color theme="1"/>
      </rPr>
      <t>CRUD</t>
    </r>
  </si>
  <si>
    <t>Paràmetres passats a la funció correctes</t>
  </si>
  <si>
    <t>La query del mètode no és correcte</t>
  </si>
  <si>
    <t>Consulta sqlAlchemy correcte</t>
  </si>
  <si>
    <t>No es retorna un format resposta correcte</t>
  </si>
  <si>
    <t>Mètode db correctes</t>
  </si>
  <si>
    <t>Mètode db correcte (amb commit i refresh si és necessari) per cada error -5</t>
  </si>
  <si>
    <t>La paraula es mostra segons idioma</t>
  </si>
  <si>
    <t>Errors correctes</t>
  </si>
  <si>
    <t>Per cada error no utilitzat o incorrecte -5</t>
  </si>
  <si>
    <t>return correcte</t>
  </si>
  <si>
    <t xml:space="preserve">  Query abecedari (5p)</t>
  </si>
  <si>
    <t>L'abecedari canvia segons idioma</t>
  </si>
  <si>
    <t xml:space="preserve">  Query historial partida (15p)</t>
  </si>
  <si>
    <t>L'historial de partida es guarda de forma correcte</t>
  </si>
  <si>
    <t>Es guarda al acabar la partida i es guarda al donar-li al botó guardar?</t>
  </si>
  <si>
    <t xml:space="preserve">  Query Instruccions (7p)</t>
  </si>
  <si>
    <r>
      <rPr>
        <rFont val="Arial"/>
        <color theme="1"/>
      </rPr>
      <t xml:space="preserve">Les instruccions són correctes (contingut i idioma) - Opcional </t>
    </r>
    <r>
      <rPr>
        <rFont val="Arial"/>
        <b/>
        <color theme="1"/>
      </rPr>
      <t>(2p)</t>
    </r>
  </si>
  <si>
    <t>SERVICES (35%)</t>
  </si>
  <si>
    <r>
      <rPr>
        <rFont val="Arial"/>
        <color theme="1"/>
      </rPr>
      <t xml:space="preserve">No s'ha creat carpeta </t>
    </r>
    <r>
      <rPr>
        <rFont val="Arial"/>
        <b/>
        <color theme="1"/>
      </rPr>
      <t>SERVICES</t>
    </r>
  </si>
  <si>
    <r>
      <rPr>
        <rFont val="Arial"/>
        <color theme="1"/>
      </rPr>
      <t xml:space="preserve">Imports correctes </t>
    </r>
    <r>
      <rPr>
        <rFont val="Arial"/>
        <b/>
        <color theme="1"/>
      </rPr>
      <t>(2p)</t>
    </r>
  </si>
  <si>
    <r>
      <rPr>
        <rFont val="Arial"/>
        <color theme="1"/>
      </rPr>
      <t xml:space="preserve">Fitxer dintre de la carpeta correcte </t>
    </r>
    <r>
      <rPr>
        <rFont val="Arial"/>
        <b/>
        <color theme="1"/>
      </rPr>
      <t>(1p)</t>
    </r>
  </si>
  <si>
    <t xml:space="preserve">  Paraula Random (5p)</t>
  </si>
  <si>
    <t>Trucada al crud correcte</t>
  </si>
  <si>
    <t>trucada al mètode incorrecte i es passen els paràmtres incorrectament</t>
  </si>
  <si>
    <t>Return incorrecte</t>
  </si>
  <si>
    <t xml:space="preserve">  Abecedari (5p)</t>
  </si>
  <si>
    <t xml:space="preserve">  Hostorial partida (15p)</t>
  </si>
  <si>
    <t xml:space="preserve">  Instruccions (7p)</t>
  </si>
  <si>
    <t>TOTAL CODI</t>
  </si>
  <si>
    <t>TOTAL TASQUES</t>
  </si>
  <si>
    <t>OBSERVACIONS</t>
  </si>
  <si>
    <t>TOTAL</t>
  </si>
  <si>
    <t>TOTAL AMB EXTRA</t>
  </si>
  <si>
    <t>S'ha entregat al moodle dintre de la data demanada</t>
  </si>
  <si>
    <t>Nota TOTAL SOBRE 100</t>
  </si>
  <si>
    <t>No s'ha entregat al moodle dintre de la data demanada però els commits son vàlids</t>
  </si>
  <si>
    <t>Nota TOTAL SOBRE 50</t>
  </si>
  <si>
    <t>Disseny BD a classe i presentat (10p)</t>
  </si>
  <si>
    <r>
      <rPr>
        <rFont val="Arial"/>
        <b val="0"/>
        <color theme="1"/>
      </rPr>
      <t xml:space="preserve">Part </t>
    </r>
    <r>
      <rPr>
        <rFont val="Arial"/>
        <b/>
        <color theme="1"/>
      </rPr>
      <t>EXTRA</t>
    </r>
    <r>
      <rPr>
        <rFont val="Arial"/>
        <b val="0"/>
        <color theme="1"/>
      </rPr>
      <t xml:space="preserve"> funcional 100% (si la part anterior està tota feta)</t>
    </r>
  </si>
  <si>
    <t>CONDICIONS</t>
  </si>
  <si>
    <t>Varis (40p) i Codi (60p). En cas que CODI no arribi, minim, a 50p, varis no suma</t>
  </si>
  <si>
    <t>- 10 punts per duplicitat de codi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</si>
</sst>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7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4" fontId="2" numFmtId="0" xfId="0" applyAlignment="1" applyFill="1" applyFont="1">
      <alignment horizontal="center" readingOrder="0" textRotation="90" vertical="center"/>
    </xf>
    <xf borderId="4" fillId="4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6" fontId="2" numFmtId="0" xfId="0" applyAlignment="1" applyBorder="1" applyFill="1" applyFont="1">
      <alignment horizontal="center" readingOrder="0"/>
    </xf>
    <xf borderId="4" fillId="5" fontId="5" numFmtId="0" xfId="0" applyAlignment="1" applyBorder="1" applyFont="1">
      <alignment readingOrder="0"/>
    </xf>
    <xf borderId="4" fillId="6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4" fillId="6" fontId="6" numFmtId="0" xfId="0" applyBorder="1" applyFont="1"/>
    <xf borderId="5" fillId="5" fontId="5" numFmtId="0" xfId="0" applyAlignment="1" applyBorder="1" applyFont="1">
      <alignment readingOrder="0"/>
    </xf>
    <xf borderId="5" fillId="6" fontId="6" numFmtId="0" xfId="0" applyAlignment="1" applyBorder="1" applyFont="1">
      <alignment readingOrder="0"/>
    </xf>
    <xf borderId="4" fillId="6" fontId="1" numFmtId="0" xfId="0" applyAlignment="1" applyBorder="1" applyFont="1">
      <alignment readingOrder="0"/>
    </xf>
    <xf borderId="5" fillId="5" fontId="5" numFmtId="0" xfId="0" applyAlignment="1" applyBorder="1" applyFont="1">
      <alignment readingOrder="0"/>
    </xf>
    <xf borderId="5" fillId="6" fontId="6" numFmtId="0" xfId="0" applyBorder="1" applyFont="1"/>
    <xf borderId="5" fillId="6" fontId="1" numFmtId="0" xfId="0" applyBorder="1" applyFont="1"/>
    <xf borderId="5" fillId="5" fontId="4" numFmtId="0" xfId="0" applyAlignment="1" applyBorder="1" applyFont="1">
      <alignment horizontal="center" readingOrder="0"/>
    </xf>
    <xf borderId="5" fillId="5" fontId="5" numFmtId="0" xfId="0" applyAlignment="1" applyBorder="1" applyFont="1">
      <alignment horizontal="left" readingOrder="0"/>
    </xf>
    <xf borderId="5" fillId="5" fontId="4" numFmtId="0" xfId="0" applyAlignment="1" applyBorder="1" applyFont="1">
      <alignment horizontal="right" readingOrder="0"/>
    </xf>
    <xf borderId="5" fillId="5" fontId="4" numFmtId="0" xfId="0" applyAlignment="1" applyBorder="1" applyFont="1">
      <alignment readingOrder="0"/>
    </xf>
    <xf borderId="5" fillId="5" fontId="7" numFmtId="0" xfId="0" applyAlignment="1" applyBorder="1" applyFont="1">
      <alignment readingOrder="0"/>
    </xf>
    <xf borderId="0" fillId="2" fontId="2" numFmtId="0" xfId="0" applyAlignment="1" applyFont="1">
      <alignment horizontal="center" readingOrder="0" textRotation="90" vertical="center"/>
    </xf>
    <xf borderId="5" fillId="2" fontId="1" numFmtId="0" xfId="0" applyAlignment="1" applyBorder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4" fillId="7" fontId="1" numFmtId="0" xfId="0" applyAlignment="1" applyBorder="1" applyFont="1">
      <alignment horizontal="right" readingOrder="0"/>
    </xf>
    <xf borderId="6" fillId="7" fontId="6" numFmtId="0" xfId="0" applyAlignment="1" applyBorder="1" applyFont="1">
      <alignment horizontal="left" readingOrder="0"/>
    </xf>
    <xf borderId="5" fillId="8" fontId="6" numFmtId="0" xfId="0" applyBorder="1" applyFill="1" applyFont="1"/>
    <xf borderId="6" fillId="8" fontId="6" numFmtId="0" xfId="0" applyBorder="1" applyFont="1"/>
    <xf borderId="4" fillId="8" fontId="6" numFmtId="0" xfId="0" applyBorder="1" applyFont="1"/>
    <xf borderId="4" fillId="7" fontId="6" numFmtId="0" xfId="0" applyAlignment="1" applyBorder="1" applyFont="1">
      <alignment horizontal="left" readingOrder="0"/>
    </xf>
    <xf borderId="4" fillId="8" fontId="1" numFmtId="0" xfId="0" applyAlignment="1" applyBorder="1" applyFont="1">
      <alignment readingOrder="0"/>
    </xf>
    <xf borderId="4" fillId="7" fontId="1" numFmtId="0" xfId="0" applyAlignment="1" applyBorder="1" applyFont="1">
      <alignment horizontal="center" readingOrder="0"/>
    </xf>
    <xf borderId="4" fillId="7" fontId="6" numFmtId="0" xfId="0" applyAlignment="1" applyBorder="1" applyFont="1">
      <alignment readingOrder="0"/>
    </xf>
    <xf borderId="4" fillId="8" fontId="6" numFmtId="0" xfId="0" applyAlignment="1" applyBorder="1" applyFont="1">
      <alignment readingOrder="0"/>
    </xf>
    <xf borderId="5" fillId="8" fontId="6" numFmtId="0" xfId="0" applyAlignment="1" applyBorder="1" applyFont="1">
      <alignment readingOrder="0"/>
    </xf>
    <xf borderId="4" fillId="7" fontId="6" numFmtId="0" xfId="0" applyAlignment="1" applyBorder="1" applyFont="1">
      <alignment readingOrder="0"/>
    </xf>
    <xf borderId="4" fillId="7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9" fontId="1" numFmtId="0" xfId="0" applyAlignment="1" applyFill="1" applyFont="1">
      <alignment horizontal="right" readingOrder="0"/>
    </xf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.13"/>
    <col customWidth="1" min="3" max="3" width="62.5"/>
    <col customWidth="1" min="4" max="4" width="16.38"/>
    <col customWidth="1" min="5" max="5" width="13.5"/>
    <col customWidth="1" min="6" max="6" width="63.25"/>
    <col customWidth="1" min="7" max="7" width="2.75"/>
    <col customWidth="1" min="8" max="8" width="62.0"/>
    <col customWidth="1" min="9" max="9" width="7.75"/>
    <col customWidth="1" min="10" max="10" width="48.13"/>
  </cols>
  <sheetData>
    <row r="1" ht="18.75" customHeight="1">
      <c r="D1" s="1"/>
    </row>
    <row r="2">
      <c r="C2" s="2" t="s">
        <v>0</v>
      </c>
      <c r="D2" s="3"/>
      <c r="E2" s="4"/>
    </row>
    <row r="3">
      <c r="C3" s="5" t="s">
        <v>1</v>
      </c>
      <c r="D3" s="5" t="s">
        <v>2</v>
      </c>
      <c r="E3" s="6" t="s">
        <v>3</v>
      </c>
      <c r="F3" s="6" t="s">
        <v>4</v>
      </c>
      <c r="G3" s="7"/>
      <c r="H3" s="8"/>
      <c r="I3" s="8"/>
      <c r="J3" s="8"/>
      <c r="K3" s="9"/>
    </row>
    <row r="4">
      <c r="B4" s="10" t="s">
        <v>5</v>
      </c>
      <c r="C4" s="11"/>
      <c r="D4" s="11"/>
      <c r="E4" s="11"/>
      <c r="F4" s="11"/>
      <c r="H4" s="12" t="s">
        <v>6</v>
      </c>
    </row>
    <row r="5">
      <c r="C5" s="13" t="s">
        <v>7</v>
      </c>
      <c r="D5" s="14"/>
      <c r="E5" s="14"/>
      <c r="F5" s="14"/>
      <c r="H5" s="1" t="s">
        <v>8</v>
      </c>
      <c r="J5" s="1" t="s">
        <v>8</v>
      </c>
    </row>
    <row r="6">
      <c r="C6" s="15" t="s">
        <v>9</v>
      </c>
      <c r="D6" s="16" t="b">
        <v>0</v>
      </c>
      <c r="E6" s="16"/>
      <c r="F6" s="16"/>
      <c r="H6" s="17" t="s">
        <v>10</v>
      </c>
      <c r="I6" s="17">
        <v>-5.0</v>
      </c>
      <c r="J6" s="18"/>
    </row>
    <row r="7">
      <c r="C7" s="15" t="s">
        <v>11</v>
      </c>
      <c r="D7" s="16" t="b">
        <v>0</v>
      </c>
      <c r="E7" s="19"/>
      <c r="F7" s="19"/>
      <c r="H7" s="17" t="s">
        <v>12</v>
      </c>
      <c r="I7" s="17">
        <v>-5.0</v>
      </c>
    </row>
    <row r="8">
      <c r="C8" s="20" t="s">
        <v>13</v>
      </c>
      <c r="D8" s="21" t="b">
        <v>0</v>
      </c>
      <c r="E8" s="21"/>
      <c r="F8" s="22"/>
      <c r="H8" s="17" t="s">
        <v>14</v>
      </c>
      <c r="I8" s="17">
        <v>-5.0</v>
      </c>
    </row>
    <row r="9">
      <c r="C9" s="23" t="s">
        <v>15</v>
      </c>
      <c r="D9" s="24" t="b">
        <v>0</v>
      </c>
      <c r="E9" s="21"/>
      <c r="F9" s="22"/>
      <c r="H9" s="17" t="s">
        <v>16</v>
      </c>
    </row>
    <row r="10">
      <c r="C10" s="23"/>
      <c r="D10" s="25">
        <f>30-SUM(E6:E9)</f>
        <v>30</v>
      </c>
      <c r="E10" s="21"/>
      <c r="F10" s="22"/>
      <c r="H10" s="1"/>
    </row>
    <row r="11">
      <c r="C11" s="13" t="s">
        <v>17</v>
      </c>
      <c r="D11" s="24"/>
      <c r="E11" s="21"/>
      <c r="F11" s="22"/>
      <c r="H11" s="1"/>
    </row>
    <row r="12">
      <c r="C12" s="23" t="s">
        <v>18</v>
      </c>
      <c r="D12" s="24" t="b">
        <v>0</v>
      </c>
      <c r="E12" s="21"/>
      <c r="F12" s="22"/>
      <c r="H12" s="17" t="s">
        <v>19</v>
      </c>
      <c r="I12" s="17">
        <v>-5.0</v>
      </c>
    </row>
    <row r="13">
      <c r="C13" s="23" t="s">
        <v>20</v>
      </c>
      <c r="D13" s="24" t="b">
        <v>0</v>
      </c>
      <c r="E13" s="21"/>
      <c r="F13" s="22"/>
      <c r="H13" s="17" t="s">
        <v>21</v>
      </c>
      <c r="I13" s="17">
        <v>-5.0</v>
      </c>
    </row>
    <row r="14">
      <c r="C14" s="23" t="s">
        <v>22</v>
      </c>
      <c r="D14" s="21" t="b">
        <v>0</v>
      </c>
      <c r="E14" s="21"/>
      <c r="F14" s="22"/>
      <c r="H14" s="17" t="s">
        <v>23</v>
      </c>
      <c r="I14" s="17">
        <v>-10.0</v>
      </c>
    </row>
    <row r="15">
      <c r="C15" s="26"/>
      <c r="D15" s="25">
        <f>30-SUM(E12:E14)</f>
        <v>30</v>
      </c>
      <c r="E15" s="21"/>
      <c r="F15" s="22"/>
      <c r="H15" s="17" t="s">
        <v>24</v>
      </c>
      <c r="I15" s="17">
        <v>-10.0</v>
      </c>
    </row>
    <row r="16">
      <c r="C16" s="13" t="s">
        <v>25</v>
      </c>
      <c r="D16" s="24"/>
      <c r="E16" s="21"/>
      <c r="F16" s="22"/>
    </row>
    <row r="17">
      <c r="C17" s="27" t="s">
        <v>26</v>
      </c>
      <c r="D17" s="24" t="b">
        <v>0</v>
      </c>
      <c r="E17" s="21"/>
      <c r="F17" s="22"/>
      <c r="H17" s="17" t="s">
        <v>27</v>
      </c>
      <c r="I17" s="17" t="s">
        <v>28</v>
      </c>
    </row>
    <row r="18">
      <c r="C18" s="26"/>
      <c r="D18" s="25">
        <f>20-E17</f>
        <v>20</v>
      </c>
      <c r="E18" s="21"/>
      <c r="F18" s="22"/>
    </row>
    <row r="19">
      <c r="C19" s="13" t="s">
        <v>29</v>
      </c>
      <c r="D19" s="24"/>
      <c r="E19" s="21"/>
      <c r="F19" s="22"/>
    </row>
    <row r="20">
      <c r="C20" s="23" t="s">
        <v>30</v>
      </c>
      <c r="D20" s="24" t="b">
        <v>0</v>
      </c>
      <c r="E20" s="21"/>
      <c r="F20" s="22"/>
      <c r="H20" s="17" t="s">
        <v>31</v>
      </c>
      <c r="I20" s="17">
        <v>-15.0</v>
      </c>
    </row>
    <row r="21">
      <c r="C21" s="23"/>
      <c r="D21" s="25">
        <f>20-E20</f>
        <v>20</v>
      </c>
      <c r="E21" s="21"/>
      <c r="F21" s="22"/>
      <c r="H21" s="1"/>
    </row>
    <row r="22">
      <c r="B22" s="10"/>
      <c r="C22" s="28" t="s">
        <v>32</v>
      </c>
      <c r="D22" s="29">
        <f>SUM(D10+D15+D18+D21)/100*40</f>
        <v>40</v>
      </c>
      <c r="E22" s="30"/>
      <c r="F22" s="30"/>
      <c r="H22" s="1"/>
    </row>
    <row r="23">
      <c r="B23" s="31"/>
      <c r="C23" s="32"/>
      <c r="D23" s="32"/>
      <c r="E23" s="32"/>
      <c r="F23" s="32"/>
      <c r="H23" s="1"/>
    </row>
    <row r="24">
      <c r="B24" s="31" t="s">
        <v>33</v>
      </c>
      <c r="C24" s="33" t="s">
        <v>34</v>
      </c>
      <c r="D24" s="34">
        <v>15.0</v>
      </c>
      <c r="E24" s="33"/>
      <c r="F24" s="33"/>
      <c r="H24" s="1"/>
      <c r="J24" s="18"/>
    </row>
    <row r="25">
      <c r="C25" s="35" t="s">
        <v>35</v>
      </c>
      <c r="D25" s="36" t="b">
        <v>0</v>
      </c>
      <c r="E25" s="37"/>
      <c r="F25" s="37"/>
      <c r="H25" s="17" t="s">
        <v>36</v>
      </c>
      <c r="I25" s="17">
        <v>-5.0</v>
      </c>
    </row>
    <row r="26">
      <c r="C26" s="35" t="s">
        <v>37</v>
      </c>
      <c r="D26" s="36" t="b">
        <v>0</v>
      </c>
      <c r="E26" s="38"/>
      <c r="F26" s="38"/>
      <c r="H26" s="17" t="s">
        <v>38</v>
      </c>
      <c r="I26" s="17">
        <v>-5.0</v>
      </c>
    </row>
    <row r="27">
      <c r="C27" s="39" t="s">
        <v>39</v>
      </c>
      <c r="D27" s="36" t="b">
        <v>0</v>
      </c>
      <c r="E27" s="38"/>
      <c r="F27" s="40"/>
      <c r="H27" s="17" t="s">
        <v>40</v>
      </c>
      <c r="I27" s="17">
        <v>-5.0</v>
      </c>
    </row>
    <row r="28">
      <c r="C28" s="39" t="s">
        <v>41</v>
      </c>
      <c r="D28" s="36" t="b">
        <v>0</v>
      </c>
      <c r="E28" s="38"/>
      <c r="F28" s="38"/>
      <c r="H28" s="17" t="s">
        <v>42</v>
      </c>
      <c r="I28" s="17">
        <v>-10.0</v>
      </c>
    </row>
    <row r="29">
      <c r="C29" s="39"/>
      <c r="D29" s="36"/>
      <c r="E29" s="38"/>
      <c r="F29" s="38"/>
      <c r="H29" s="17" t="s">
        <v>43</v>
      </c>
      <c r="I29" s="17">
        <v>-10.0</v>
      </c>
    </row>
    <row r="30">
      <c r="C30" s="39"/>
      <c r="D30" s="38"/>
      <c r="E30" s="38"/>
      <c r="F30" s="38"/>
      <c r="I30" s="17">
        <v>-5.0</v>
      </c>
    </row>
    <row r="31">
      <c r="C31" s="39"/>
      <c r="D31" s="38"/>
      <c r="E31" s="38"/>
      <c r="F31" s="38"/>
      <c r="H31" s="17"/>
      <c r="I31" s="17"/>
    </row>
    <row r="32">
      <c r="C32" s="41" t="s">
        <v>44</v>
      </c>
      <c r="D32" s="34">
        <v>15.0</v>
      </c>
      <c r="E32" s="33"/>
      <c r="F32" s="33"/>
      <c r="H32" s="1"/>
      <c r="J32" s="18"/>
    </row>
    <row r="33">
      <c r="C33" s="42" t="s">
        <v>45</v>
      </c>
      <c r="D33" s="36" t="b">
        <v>0</v>
      </c>
      <c r="E33" s="43"/>
      <c r="F33" s="40"/>
      <c r="H33" s="17" t="s">
        <v>46</v>
      </c>
      <c r="I33" s="17">
        <v>-5.0</v>
      </c>
    </row>
    <row r="34">
      <c r="C34" s="42" t="s">
        <v>47</v>
      </c>
      <c r="D34" s="44" t="b">
        <v>0</v>
      </c>
      <c r="E34" s="38"/>
      <c r="F34" s="38"/>
      <c r="H34" s="17" t="s">
        <v>48</v>
      </c>
      <c r="I34" s="17">
        <v>-15.0</v>
      </c>
    </row>
    <row r="35">
      <c r="C35" s="42" t="s">
        <v>49</v>
      </c>
      <c r="D35" s="36" t="b">
        <v>0</v>
      </c>
      <c r="E35" s="38"/>
      <c r="F35" s="38"/>
      <c r="H35" s="17" t="s">
        <v>50</v>
      </c>
      <c r="I35" s="17">
        <v>-10.0</v>
      </c>
    </row>
    <row r="36">
      <c r="C36" s="42" t="s">
        <v>51</v>
      </c>
      <c r="D36" s="36" t="b">
        <v>0</v>
      </c>
      <c r="E36" s="38"/>
      <c r="F36" s="38"/>
      <c r="H36" s="17" t="s">
        <v>52</v>
      </c>
      <c r="I36" s="17">
        <v>-5.0</v>
      </c>
    </row>
    <row r="37">
      <c r="C37" s="42" t="s">
        <v>53</v>
      </c>
      <c r="D37" s="36" t="b">
        <v>0</v>
      </c>
      <c r="E37" s="38"/>
      <c r="F37" s="38"/>
      <c r="H37" s="17" t="s">
        <v>54</v>
      </c>
      <c r="I37" s="17">
        <v>-5.0</v>
      </c>
    </row>
    <row r="38">
      <c r="C38" s="42" t="s">
        <v>55</v>
      </c>
      <c r="D38" s="44" t="b">
        <v>0</v>
      </c>
      <c r="E38" s="38"/>
      <c r="F38" s="38"/>
      <c r="H38" s="17" t="s">
        <v>56</v>
      </c>
      <c r="I38" s="17">
        <v>-10.0</v>
      </c>
    </row>
    <row r="39">
      <c r="C39" s="42" t="s">
        <v>57</v>
      </c>
      <c r="D39" s="36" t="b">
        <v>0</v>
      </c>
      <c r="E39" s="43"/>
      <c r="F39" s="40"/>
      <c r="H39" s="17" t="s">
        <v>58</v>
      </c>
      <c r="I39" s="17">
        <v>-10.0</v>
      </c>
    </row>
    <row r="40">
      <c r="C40" s="42" t="s">
        <v>59</v>
      </c>
      <c r="D40" s="36" t="b">
        <v>0</v>
      </c>
      <c r="E40" s="38"/>
      <c r="F40" s="38"/>
    </row>
    <row r="41">
      <c r="C41" s="42" t="s">
        <v>60</v>
      </c>
      <c r="D41" s="36" t="b">
        <v>0</v>
      </c>
      <c r="E41" s="38"/>
      <c r="F41" s="38"/>
    </row>
    <row r="42">
      <c r="C42" s="42"/>
      <c r="D42" s="36"/>
      <c r="E42" s="38"/>
      <c r="F42" s="38"/>
    </row>
    <row r="43">
      <c r="C43" s="41" t="s">
        <v>61</v>
      </c>
      <c r="D43" s="34">
        <v>35.0</v>
      </c>
      <c r="E43" s="33"/>
      <c r="F43" s="33"/>
      <c r="H43" s="1"/>
      <c r="J43" s="18"/>
    </row>
    <row r="44">
      <c r="C44" s="45" t="s">
        <v>62</v>
      </c>
      <c r="D44" s="36" t="b">
        <v>0</v>
      </c>
      <c r="E44" s="43"/>
      <c r="F44" s="40"/>
      <c r="H44" s="17"/>
      <c r="I44" s="17"/>
    </row>
    <row r="45">
      <c r="C45" s="42" t="s">
        <v>63</v>
      </c>
      <c r="D45" s="36" t="b">
        <v>0</v>
      </c>
      <c r="E45" s="43"/>
      <c r="F45" s="40"/>
      <c r="H45" s="17"/>
      <c r="I45" s="17"/>
    </row>
    <row r="46">
      <c r="C46" s="46" t="s">
        <v>64</v>
      </c>
      <c r="D46" s="38"/>
      <c r="E46" s="43"/>
      <c r="F46" s="40"/>
      <c r="H46" s="17" t="s">
        <v>65</v>
      </c>
      <c r="I46" s="17">
        <v>-5.0</v>
      </c>
    </row>
    <row r="47">
      <c r="C47" s="42" t="s">
        <v>66</v>
      </c>
      <c r="D47" s="36" t="b">
        <v>0</v>
      </c>
      <c r="E47" s="38"/>
      <c r="F47" s="38"/>
      <c r="H47" s="1" t="s">
        <v>67</v>
      </c>
      <c r="I47" s="1">
        <v>-10.0</v>
      </c>
    </row>
    <row r="48">
      <c r="C48" s="42" t="s">
        <v>68</v>
      </c>
      <c r="D48" s="36" t="b">
        <v>0</v>
      </c>
      <c r="E48" s="38"/>
      <c r="F48" s="38"/>
      <c r="H48" s="1" t="s">
        <v>69</v>
      </c>
      <c r="I48" s="1">
        <v>-5.0</v>
      </c>
    </row>
    <row r="49">
      <c r="C49" s="42" t="s">
        <v>70</v>
      </c>
      <c r="D49" s="36" t="b">
        <v>0</v>
      </c>
      <c r="E49" s="38"/>
      <c r="F49" s="38"/>
      <c r="H49" s="17" t="s">
        <v>71</v>
      </c>
      <c r="I49" s="17">
        <v>-5.0</v>
      </c>
    </row>
    <row r="50">
      <c r="C50" s="42" t="s">
        <v>72</v>
      </c>
      <c r="D50" s="36" t="b">
        <v>0</v>
      </c>
      <c r="E50" s="43"/>
      <c r="F50" s="40"/>
    </row>
    <row r="51">
      <c r="C51" s="42" t="s">
        <v>73</v>
      </c>
      <c r="D51" s="36" t="b">
        <v>0</v>
      </c>
      <c r="E51" s="43"/>
      <c r="F51" s="40"/>
      <c r="H51" s="17" t="s">
        <v>74</v>
      </c>
      <c r="I51" s="17">
        <v>-5.0</v>
      </c>
    </row>
    <row r="52">
      <c r="C52" s="42" t="s">
        <v>75</v>
      </c>
      <c r="D52" s="36" t="b">
        <v>0</v>
      </c>
      <c r="E52" s="43"/>
      <c r="F52" s="40"/>
      <c r="H52" s="17"/>
      <c r="I52" s="17"/>
    </row>
    <row r="53">
      <c r="C53" s="46" t="s">
        <v>76</v>
      </c>
      <c r="D53" s="38"/>
      <c r="E53" s="38"/>
      <c r="F53" s="38"/>
    </row>
    <row r="54">
      <c r="C54" s="42" t="s">
        <v>66</v>
      </c>
      <c r="D54" s="36" t="b">
        <v>0</v>
      </c>
      <c r="E54" s="38"/>
      <c r="F54" s="38"/>
    </row>
    <row r="55">
      <c r="C55" s="42" t="s">
        <v>68</v>
      </c>
      <c r="D55" s="36" t="b">
        <v>0</v>
      </c>
      <c r="E55" s="38"/>
      <c r="F55" s="38"/>
    </row>
    <row r="56">
      <c r="C56" s="42" t="s">
        <v>70</v>
      </c>
      <c r="D56" s="36" t="b">
        <v>0</v>
      </c>
      <c r="E56" s="38"/>
      <c r="F56" s="38"/>
    </row>
    <row r="57">
      <c r="C57" s="42" t="s">
        <v>77</v>
      </c>
      <c r="D57" s="36" t="b">
        <v>0</v>
      </c>
      <c r="E57" s="43"/>
      <c r="F57" s="40"/>
    </row>
    <row r="58">
      <c r="C58" s="42" t="s">
        <v>73</v>
      </c>
      <c r="D58" s="36" t="b">
        <v>0</v>
      </c>
      <c r="E58" s="43"/>
      <c r="F58" s="40"/>
    </row>
    <row r="59">
      <c r="C59" s="42" t="s">
        <v>75</v>
      </c>
      <c r="D59" s="36" t="b">
        <v>0</v>
      </c>
      <c r="E59" s="43"/>
      <c r="F59" s="40"/>
    </row>
    <row r="60">
      <c r="C60" s="46" t="s">
        <v>78</v>
      </c>
      <c r="D60" s="38"/>
      <c r="E60" s="43"/>
      <c r="F60" s="40"/>
    </row>
    <row r="61">
      <c r="C61" s="42" t="s">
        <v>66</v>
      </c>
      <c r="D61" s="36" t="b">
        <v>0</v>
      </c>
      <c r="E61" s="43"/>
      <c r="F61" s="40"/>
      <c r="H61" s="1"/>
      <c r="I61" s="1"/>
    </row>
    <row r="62">
      <c r="C62" s="42" t="s">
        <v>68</v>
      </c>
      <c r="D62" s="36" t="b">
        <v>0</v>
      </c>
      <c r="E62" s="43"/>
      <c r="F62" s="40"/>
    </row>
    <row r="63">
      <c r="C63" s="42" t="s">
        <v>70</v>
      </c>
      <c r="D63" s="36" t="b">
        <v>0</v>
      </c>
      <c r="E63" s="38"/>
      <c r="F63" s="38"/>
      <c r="H63" s="1"/>
      <c r="I63" s="1"/>
    </row>
    <row r="64">
      <c r="C64" s="42" t="s">
        <v>79</v>
      </c>
      <c r="D64" s="36" t="b">
        <v>0</v>
      </c>
      <c r="E64" s="38"/>
      <c r="F64" s="38"/>
      <c r="H64" s="17" t="s">
        <v>80</v>
      </c>
      <c r="I64" s="17">
        <v>-10.0</v>
      </c>
    </row>
    <row r="65">
      <c r="C65" s="42" t="s">
        <v>73</v>
      </c>
      <c r="D65" s="36" t="b">
        <v>0</v>
      </c>
      <c r="E65" s="38"/>
      <c r="F65" s="38"/>
    </row>
    <row r="66">
      <c r="C66" s="42" t="s">
        <v>75</v>
      </c>
      <c r="D66" s="36" t="b">
        <v>0</v>
      </c>
      <c r="E66" s="38"/>
      <c r="F66" s="38"/>
    </row>
    <row r="67">
      <c r="C67" s="46" t="s">
        <v>81</v>
      </c>
      <c r="D67" s="38"/>
      <c r="E67" s="38"/>
      <c r="F67" s="38"/>
    </row>
    <row r="68">
      <c r="C68" s="42" t="s">
        <v>66</v>
      </c>
      <c r="D68" s="36" t="b">
        <v>0</v>
      </c>
      <c r="E68" s="38"/>
      <c r="F68" s="38"/>
    </row>
    <row r="69">
      <c r="C69" s="42" t="s">
        <v>68</v>
      </c>
      <c r="D69" s="36" t="b">
        <v>0</v>
      </c>
      <c r="E69" s="38"/>
      <c r="F69" s="38"/>
    </row>
    <row r="70">
      <c r="C70" s="42" t="s">
        <v>70</v>
      </c>
      <c r="D70" s="36" t="b">
        <v>0</v>
      </c>
      <c r="E70" s="38"/>
      <c r="F70" s="38"/>
    </row>
    <row r="71">
      <c r="C71" s="42" t="s">
        <v>82</v>
      </c>
      <c r="D71" s="36" t="b">
        <v>0</v>
      </c>
      <c r="E71" s="38"/>
      <c r="F71" s="38"/>
    </row>
    <row r="72">
      <c r="C72" s="42" t="s">
        <v>73</v>
      </c>
      <c r="D72" s="36" t="b">
        <v>0</v>
      </c>
      <c r="E72" s="38"/>
      <c r="F72" s="38"/>
    </row>
    <row r="73">
      <c r="C73" s="42" t="s">
        <v>75</v>
      </c>
      <c r="D73" s="36" t="b">
        <v>0</v>
      </c>
      <c r="E73" s="38"/>
      <c r="F73" s="38"/>
    </row>
    <row r="74">
      <c r="C74" s="42"/>
      <c r="D74" s="38"/>
      <c r="E74" s="38"/>
      <c r="F74" s="38"/>
    </row>
    <row r="75">
      <c r="C75" s="41" t="s">
        <v>83</v>
      </c>
      <c r="D75" s="34">
        <v>35.0</v>
      </c>
      <c r="E75" s="33"/>
      <c r="F75" s="33"/>
      <c r="H75" s="17" t="s">
        <v>84</v>
      </c>
      <c r="I75" s="17">
        <v>-5.0</v>
      </c>
      <c r="J75" s="18"/>
    </row>
    <row r="76">
      <c r="C76" s="42" t="s">
        <v>85</v>
      </c>
      <c r="D76" s="36" t="b">
        <v>0</v>
      </c>
      <c r="E76" s="38"/>
      <c r="F76" s="38"/>
    </row>
    <row r="77">
      <c r="C77" s="42" t="s">
        <v>86</v>
      </c>
      <c r="D77" s="36" t="b">
        <v>0</v>
      </c>
      <c r="E77" s="38"/>
      <c r="F77" s="38"/>
    </row>
    <row r="78">
      <c r="C78" s="46" t="s">
        <v>87</v>
      </c>
      <c r="D78" s="38"/>
      <c r="E78" s="38"/>
      <c r="F78" s="38"/>
    </row>
    <row r="79">
      <c r="C79" s="42" t="s">
        <v>66</v>
      </c>
      <c r="D79" s="36" t="b">
        <v>0</v>
      </c>
      <c r="E79" s="38"/>
      <c r="F79" s="38"/>
    </row>
    <row r="80">
      <c r="C80" s="42" t="s">
        <v>88</v>
      </c>
      <c r="D80" s="36" t="b">
        <v>0</v>
      </c>
      <c r="E80" s="38"/>
      <c r="F80" s="38"/>
      <c r="H80" s="17" t="s">
        <v>89</v>
      </c>
      <c r="I80" s="17">
        <v>-10.0</v>
      </c>
    </row>
    <row r="81">
      <c r="C81" s="42" t="s">
        <v>75</v>
      </c>
      <c r="D81" s="36" t="b">
        <v>0</v>
      </c>
      <c r="E81" s="38"/>
      <c r="F81" s="38"/>
      <c r="H81" s="17" t="s">
        <v>90</v>
      </c>
      <c r="I81" s="17">
        <v>-10.0</v>
      </c>
    </row>
    <row r="82">
      <c r="C82" s="42"/>
      <c r="D82" s="36"/>
      <c r="E82" s="38"/>
      <c r="F82" s="38"/>
    </row>
    <row r="83">
      <c r="C83" s="46" t="s">
        <v>91</v>
      </c>
      <c r="D83" s="38"/>
      <c r="E83" s="43"/>
      <c r="F83" s="40"/>
    </row>
    <row r="84">
      <c r="C84" s="42" t="s">
        <v>66</v>
      </c>
      <c r="D84" s="36" t="b">
        <v>0</v>
      </c>
      <c r="E84" s="38"/>
      <c r="F84" s="38"/>
    </row>
    <row r="85">
      <c r="C85" s="42" t="s">
        <v>88</v>
      </c>
      <c r="D85" s="36" t="b">
        <v>0</v>
      </c>
      <c r="E85" s="38"/>
      <c r="F85" s="38"/>
    </row>
    <row r="86">
      <c r="C86" s="42" t="s">
        <v>75</v>
      </c>
      <c r="D86" s="36" t="b">
        <v>0</v>
      </c>
      <c r="E86" s="38"/>
      <c r="F86" s="38"/>
    </row>
    <row r="87">
      <c r="C87" s="46"/>
      <c r="D87" s="36"/>
      <c r="E87" s="38"/>
      <c r="F87" s="38"/>
    </row>
    <row r="88">
      <c r="C88" s="46" t="s">
        <v>92</v>
      </c>
      <c r="D88" s="43"/>
      <c r="E88" s="38"/>
      <c r="F88" s="38"/>
    </row>
    <row r="89">
      <c r="C89" s="42" t="s">
        <v>66</v>
      </c>
      <c r="D89" s="36" t="b">
        <v>0</v>
      </c>
      <c r="E89" s="38"/>
      <c r="F89" s="38"/>
    </row>
    <row r="90">
      <c r="C90" s="42" t="s">
        <v>88</v>
      </c>
      <c r="D90" s="36" t="b">
        <v>0</v>
      </c>
      <c r="E90" s="38"/>
      <c r="F90" s="38"/>
    </row>
    <row r="91">
      <c r="C91" s="42" t="s">
        <v>75</v>
      </c>
      <c r="D91" s="36" t="b">
        <v>0</v>
      </c>
      <c r="E91" s="38"/>
      <c r="F91" s="38"/>
    </row>
    <row r="92">
      <c r="C92" s="42"/>
      <c r="D92" s="36"/>
      <c r="E92" s="38"/>
      <c r="F92" s="38"/>
    </row>
    <row r="93">
      <c r="C93" s="46" t="s">
        <v>93</v>
      </c>
      <c r="D93" s="43"/>
      <c r="E93" s="38"/>
      <c r="F93" s="38"/>
    </row>
    <row r="94">
      <c r="C94" s="42" t="s">
        <v>66</v>
      </c>
      <c r="D94" s="36" t="b">
        <v>0</v>
      </c>
      <c r="E94" s="38"/>
      <c r="F94" s="38"/>
    </row>
    <row r="95">
      <c r="C95" s="42" t="s">
        <v>88</v>
      </c>
      <c r="D95" s="36" t="b">
        <v>0</v>
      </c>
      <c r="E95" s="38"/>
      <c r="F95" s="38"/>
    </row>
    <row r="96">
      <c r="C96" s="42" t="s">
        <v>75</v>
      </c>
      <c r="D96" s="36" t="b">
        <v>0</v>
      </c>
      <c r="E96" s="38"/>
      <c r="F96" s="38"/>
    </row>
    <row r="97">
      <c r="C97" s="42"/>
      <c r="D97" s="36"/>
      <c r="E97" s="38"/>
      <c r="F97" s="38"/>
    </row>
    <row r="98">
      <c r="C98" s="34" t="s">
        <v>94</v>
      </c>
      <c r="D98" s="34">
        <f>SUM(D24+D32+D43+D75)/100*60</f>
        <v>60</v>
      </c>
      <c r="E98" s="33"/>
      <c r="F98" s="33"/>
    </row>
    <row r="99">
      <c r="C99" s="42"/>
      <c r="D99" s="38"/>
      <c r="E99" s="38"/>
      <c r="F99" s="40"/>
    </row>
    <row r="100">
      <c r="C100" s="42"/>
      <c r="D100" s="38"/>
      <c r="E100" s="38"/>
      <c r="F100" s="38"/>
    </row>
    <row r="101">
      <c r="C101" s="42"/>
      <c r="D101" s="38"/>
      <c r="E101" s="38"/>
      <c r="F101" s="38"/>
    </row>
    <row r="102">
      <c r="C102" s="42"/>
      <c r="D102" s="38"/>
      <c r="E102" s="38"/>
      <c r="F102" s="38"/>
    </row>
    <row r="103">
      <c r="C103" s="42"/>
      <c r="D103" s="38"/>
      <c r="E103" s="38"/>
      <c r="F103" s="38"/>
    </row>
    <row r="104">
      <c r="D104" s="47" t="s">
        <v>95</v>
      </c>
      <c r="E104" s="1">
        <f>IF(B108=TRUE,(D22+D98-10),((D22+D98)/100*40))</f>
        <v>90</v>
      </c>
    </row>
    <row r="105">
      <c r="C105" s="1" t="s">
        <v>96</v>
      </c>
      <c r="D105" s="48" t="s">
        <v>97</v>
      </c>
      <c r="E105" s="49">
        <f>IF(B110=TRUE,(E104+10),(E104))</f>
        <v>100</v>
      </c>
    </row>
    <row r="106">
      <c r="D106" s="1" t="s">
        <v>98</v>
      </c>
      <c r="E106" s="1">
        <f>IF(AND(B108,B111),(E105+10),(E104))</f>
        <v>110</v>
      </c>
    </row>
    <row r="108">
      <c r="B108" s="17" t="b">
        <v>1</v>
      </c>
      <c r="C108" s="17" t="s">
        <v>99</v>
      </c>
      <c r="D108" s="1" t="s">
        <v>100</v>
      </c>
    </row>
    <row r="109">
      <c r="B109" s="17" t="b">
        <v>0</v>
      </c>
      <c r="C109" s="17" t="s">
        <v>101</v>
      </c>
      <c r="D109" s="1" t="s">
        <v>102</v>
      </c>
    </row>
    <row r="110">
      <c r="B110" s="17" t="b">
        <v>1</v>
      </c>
      <c r="C110" s="17" t="s">
        <v>103</v>
      </c>
    </row>
    <row r="111">
      <c r="B111" s="17" t="b">
        <v>1</v>
      </c>
      <c r="C111" s="1" t="s">
        <v>104</v>
      </c>
    </row>
    <row r="113">
      <c r="C113" s="1" t="s">
        <v>105</v>
      </c>
    </row>
    <row r="114">
      <c r="C114" s="17" t="s">
        <v>106</v>
      </c>
    </row>
    <row r="115">
      <c r="C115" s="17" t="s">
        <v>107</v>
      </c>
    </row>
  </sheetData>
  <mergeCells count="4">
    <mergeCell ref="C2:E2"/>
    <mergeCell ref="B4:B21"/>
    <mergeCell ref="H4:I4"/>
    <mergeCell ref="B24:B103"/>
  </mergeCells>
  <dataValidations>
    <dataValidation type="list" allowBlank="1" showErrorMessage="1" sqref="J75">
      <formula1>"No s'ha creat carpeta SERVICES,trucada al mètode correcte i es passen els paràmtres correctament,Return incorrecte"</formula1>
    </dataValidation>
    <dataValidation type="list" allowBlank="1" showErrorMessage="1" sqref="J24">
      <formula1>"Import incorrecte,OpciNo s'ha creat carpetaón 2,Per cada classe mal creada,Camps models sense tipus de dades o incorrectes,La classe principal sense Table=True"</formula1>
    </dataValidation>
    <dataValidation type="list" allowBlank="1" showErrorMessage="1" sqref="J32">
      <formula1>"Imports incorrecte,Si no hi ha instància,Si engine no és funcional 100%,Endpoint amb mètode http incorrecte,Endpoint sense response_model o response_model incorrecte,Funció sense la Sessió,Trucada al servei incorrecte"</formula1>
    </dataValidation>
    <dataValidation type="list" allowBlank="1" showErrorMessage="1" sqref="J43">
      <formula1>"No s'ha creat carpeta CRUD,La query del mètode no és correcte,No es retorna un format resposta correcte,Mètode db correcte (amb commit i refresh si és necessari) per cada error -5,Per cada error no utilitzat o incorrecte -5,Es guarda al acabar la partida "&amp;"i es guarda al donar-li al botó guardar?"</formula1>
    </dataValidation>
    <dataValidation type="list" allowBlank="1" showErrorMessage="1" sqref="J6">
      <formula1>".env incorrecte,requirements incorrecte o inexistent,docker-compose.yml incorrecte o no està,Estructura incorrecte,No pujar tot el codi a través de branca,nom branca incorrecte,No fusionar el codi a la branca main,Per cada dia que NO es fa un commit,Es fa"&amp;"n commits a classe però amb molt poca feina,Per cada error en la funcionalitat,No comentar el codi de forma òptima"</formula1>
    </dataValidation>
  </dataValidations>
  <drawing r:id="rId1"/>
</worksheet>
</file>